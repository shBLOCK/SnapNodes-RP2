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QSPI" sheetId="1" state="visible" r:id="rId1"/>
    <sheet name="PA" sheetId="2" state="visible" r:id="rId2"/>
    <sheet name="PB" sheetId="3" state="visible" r:id="rId3"/>
    <sheet name="PC" sheetId="4" state="visible" r:id="rId4"/>
    <sheet name="PD" sheetId="5" state="visible" r:id="rId5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<sst xmlns="http://schemas.openxmlformats.org/spreadsheetml/2006/main" count="22" uniqueCount="22">
  <si>
    <t>SIGNAL</t>
  </si>
  <si>
    <t xml:space="preserve">SEG1(MCU-SPI FLASH)</t>
  </si>
  <si>
    <t xml:space="preserve">SEG2(SPI FLASH-PSRAM)</t>
  </si>
  <si>
    <t>TOTAL</t>
  </si>
  <si>
    <t>COMMENT</t>
  </si>
  <si>
    <t>LEGEND</t>
  </si>
  <si>
    <t>SCK</t>
  </si>
  <si>
    <t xml:space="preserve">CHOSEN REFERENCE</t>
  </si>
  <si>
    <t>D0</t>
  </si>
  <si>
    <t xml:space="preserve">NOT GOOD</t>
  </si>
  <si>
    <t>D1</t>
  </si>
  <si>
    <t>IGNORED</t>
  </si>
  <si>
    <t>D2</t>
  </si>
  <si>
    <t>D3</t>
  </si>
  <si>
    <t>CS0</t>
  </si>
  <si>
    <t>CS1</t>
  </si>
  <si>
    <t xml:space="preserve">USE TOTAL LENGTH AS REFERENCE</t>
  </si>
  <si>
    <t>UNIT:mm</t>
  </si>
  <si>
    <t>SEG1(MCU-R)</t>
  </si>
  <si>
    <t>SEG2(R-CONN)</t>
  </si>
  <si>
    <t>CA</t>
  </si>
  <si>
    <t>CB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</si>
</sst>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indexed="2"/>
        <bgColor indexed="2"/>
      </patternFill>
    </fill>
    <fill>
      <patternFill patternType="solid">
        <fgColor theme="0" tint="-0.499984740745262"/>
        <bgColor theme="0" tint="-0.499984740745262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0">
    <xf fontId="0" fillId="0" borderId="0" numFmtId="0" xfId="0"/>
    <xf fontId="0" fillId="0" borderId="0" numFmtId="0" xfId="0">
      <protection hidden="0" locked="1"/>
    </xf>
    <xf fontId="0" fillId="2" borderId="0" numFmtId="0" xfId="0" applyFill="1"/>
    <xf fontId="0" fillId="3" borderId="0" numFmtId="0" xfId="0" applyFill="1"/>
    <xf fontId="0" fillId="4" borderId="0" numFmtId="0" xfId="0" applyFill="1"/>
    <xf fontId="0" fillId="4" borderId="0" numFmtId="0" xfId="0" applyFill="1">
      <protection hidden="0" locked="1"/>
    </xf>
    <xf fontId="0" fillId="0" borderId="0" numFmtId="0" xfId="0"/>
    <xf fontId="0" fillId="0" borderId="0" numFmtId="0" xfId="0"/>
    <xf fontId="0" fillId="2" borderId="0" numFmtId="0" xfId="0" applyFill="1">
      <protection hidden="0" locked="1"/>
    </xf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6.57421875"/>
    <col customWidth="1" min="2" max="2" width="19.8515625"/>
    <col customWidth="1" min="3" max="3" width="19.28125"/>
    <col customWidth="1" min="4" max="4" width="20.8515625"/>
    <col customWidth="1" min="5" max="5" width="30.57421875"/>
    <col customWidth="1" min="8" max="8" width="18.421875"/>
  </cols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</row>
    <row r="2" ht="14.25">
      <c r="A2" t="s">
        <v>6</v>
      </c>
      <c r="B2" s="1">
        <v>14.852</v>
      </c>
      <c r="C2">
        <v>15.5466</v>
      </c>
      <c r="D2" s="2">
        <f>B2+C2</f>
        <v>30.398600000000002</v>
      </c>
      <c r="G2" s="2"/>
      <c r="H2" t="s">
        <v>7</v>
      </c>
    </row>
    <row r="3" ht="14.25">
      <c r="A3" t="s">
        <v>8</v>
      </c>
      <c r="B3" s="3">
        <v>11.133800000000001</v>
      </c>
      <c r="C3" s="2">
        <v>15.5466</v>
      </c>
      <c r="D3" s="3">
        <f>B3+C3</f>
        <v>26.680399999999999</v>
      </c>
      <c r="G3" s="3"/>
      <c r="H3" t="s">
        <v>9</v>
      </c>
    </row>
    <row r="4" ht="14.25">
      <c r="A4" t="s">
        <v>10</v>
      </c>
      <c r="B4">
        <v>14.852</v>
      </c>
      <c r="C4" s="3">
        <v>14.0944</v>
      </c>
      <c r="D4" s="3">
        <f>B4+C4</f>
        <v>28.946400000000001</v>
      </c>
      <c r="G4" s="4"/>
      <c r="H4" t="s">
        <v>11</v>
      </c>
    </row>
    <row r="5" ht="14.25">
      <c r="A5" t="s">
        <v>12</v>
      </c>
      <c r="B5" s="1">
        <v>14.852</v>
      </c>
      <c r="C5" s="1">
        <v>15.5466</v>
      </c>
      <c r="D5">
        <f>B5+C5</f>
        <v>30.398600000000002</v>
      </c>
    </row>
    <row r="6" ht="14.25">
      <c r="A6" t="s">
        <v>13</v>
      </c>
      <c r="B6" s="1">
        <v>14.852</v>
      </c>
      <c r="C6" s="1">
        <v>15.5466</v>
      </c>
      <c r="D6">
        <f>B6+C6</f>
        <v>30.398600000000002</v>
      </c>
    </row>
    <row r="7" ht="14.25">
      <c r="A7" t="s">
        <v>14</v>
      </c>
      <c r="B7" s="2">
        <v>14.852</v>
      </c>
      <c r="C7" s="4">
        <v>0</v>
      </c>
      <c r="D7" s="4">
        <f>B7+C7</f>
        <v>14.852</v>
      </c>
    </row>
    <row r="8" ht="14.25">
      <c r="A8" t="s">
        <v>15</v>
      </c>
      <c r="B8">
        <v>30.398600000000002</v>
      </c>
      <c r="C8" s="4">
        <v>0</v>
      </c>
      <c r="D8" s="5">
        <f>B8+C8</f>
        <v>30.398600000000002</v>
      </c>
      <c r="E8" s="6" t="s">
        <v>16</v>
      </c>
      <c r="H8" t="s">
        <v>17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6.57421875"/>
    <col customWidth="1" min="2" max="2" width="19.8515625"/>
    <col customWidth="1" min="3" max="3" width="19.28125"/>
    <col customWidth="1" min="4" max="4" width="20.8515625"/>
    <col customWidth="1" min="5" max="5" width="30.57421875"/>
    <col customWidth="1" min="7" max="7" width="9.140625"/>
    <col customWidth="1" min="8" max="8" width="18.421875"/>
  </cols>
  <sheetData>
    <row r="1" ht="14.25">
      <c r="A1" s="1" t="s">
        <v>0</v>
      </c>
      <c r="B1" s="1" t="s">
        <v>18</v>
      </c>
      <c r="C1" s="1" t="s">
        <v>19</v>
      </c>
      <c r="D1" t="s">
        <v>3</v>
      </c>
      <c r="E1" t="s">
        <v>4</v>
      </c>
      <c r="G1" t="s">
        <v>5</v>
      </c>
      <c r="H1" s="1"/>
    </row>
    <row r="2" ht="14.25">
      <c r="A2" t="s">
        <v>20</v>
      </c>
      <c r="B2">
        <f>D2-C2</f>
        <v>12.739100000000001</v>
      </c>
      <c r="C2">
        <v>5.8326000000000002</v>
      </c>
      <c r="D2">
        <v>18.5717</v>
      </c>
      <c r="G2" s="2"/>
      <c r="H2" t="s">
        <v>7</v>
      </c>
    </row>
    <row r="3" ht="14.25">
      <c r="A3" t="s">
        <v>8</v>
      </c>
      <c r="B3">
        <f>D3-C3</f>
        <v>16.706</v>
      </c>
      <c r="C3">
        <v>1.8656999999999999</v>
      </c>
      <c r="D3" s="7">
        <v>18.5717</v>
      </c>
      <c r="G3" s="3"/>
      <c r="H3" t="s">
        <v>9</v>
      </c>
    </row>
    <row r="4" ht="14.25">
      <c r="A4" t="s">
        <v>10</v>
      </c>
      <c r="B4">
        <f>D4-C4</f>
        <v>17.381699999999999</v>
      </c>
      <c r="C4">
        <v>1.1899999999999999</v>
      </c>
      <c r="D4" s="7">
        <v>18.5717</v>
      </c>
      <c r="G4" s="4"/>
      <c r="H4" t="s">
        <v>11</v>
      </c>
    </row>
    <row r="5" ht="14.25">
      <c r="A5" t="s">
        <v>12</v>
      </c>
      <c r="B5">
        <f>D5-C5</f>
        <v>17.381699999999999</v>
      </c>
      <c r="C5" s="1">
        <v>1.1899999999999999</v>
      </c>
      <c r="D5" s="7">
        <v>18.5717</v>
      </c>
      <c r="G5" s="1"/>
      <c r="H5" s="1"/>
    </row>
    <row r="6" ht="14.25">
      <c r="A6" t="s">
        <v>13</v>
      </c>
      <c r="B6">
        <f>D6-C6</f>
        <v>17.381699999999999</v>
      </c>
      <c r="C6" s="1">
        <v>1.1899999999999999</v>
      </c>
      <c r="D6" s="7">
        <v>18.5717</v>
      </c>
      <c r="G6" s="1"/>
      <c r="H6" s="1"/>
    </row>
    <row r="7" ht="14.25">
      <c r="A7" t="s">
        <v>21</v>
      </c>
      <c r="B7">
        <v>17.381699999999999</v>
      </c>
      <c r="C7">
        <v>1.1899999999999999</v>
      </c>
      <c r="D7" s="2">
        <f>B7+C7</f>
        <v>18.5717</v>
      </c>
      <c r="G7" s="1"/>
      <c r="H7" s="1"/>
    </row>
    <row r="8" ht="14.25">
      <c r="G8" s="1"/>
      <c r="H8" t="s">
        <v>17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16.57421875"/>
    <col customWidth="1" min="2" max="2" width="19.8515625"/>
    <col customWidth="1" min="3" max="3" width="19.28125"/>
    <col customWidth="1" min="4" max="4" width="20.8515625"/>
    <col customWidth="1" min="5" max="5" width="30.57421875"/>
    <col customWidth="1" min="6" max="6" width="9.140625"/>
    <col customWidth="1" min="7" max="7" width="9.140625"/>
    <col customWidth="1" min="8" max="8" width="18.421875"/>
  </cols>
  <sheetData>
    <row r="1">
      <c r="A1" s="1" t="s">
        <v>0</v>
      </c>
      <c r="B1" s="1" t="s">
        <v>18</v>
      </c>
      <c r="C1" s="1" t="s">
        <v>19</v>
      </c>
      <c r="D1" s="1" t="s">
        <v>3</v>
      </c>
      <c r="E1" s="1" t="s">
        <v>4</v>
      </c>
      <c r="F1" s="1"/>
      <c r="G1" s="1" t="s">
        <v>5</v>
      </c>
      <c r="H1" s="1"/>
    </row>
    <row r="2">
      <c r="A2" t="s">
        <v>20</v>
      </c>
      <c r="B2" s="1">
        <f>D2-C2</f>
        <v>26.7745</v>
      </c>
      <c r="C2" s="1">
        <v>1.1899999999999999</v>
      </c>
      <c r="D2" s="1">
        <v>27.964500000000001</v>
      </c>
      <c r="E2" s="1"/>
      <c r="F2" s="1"/>
      <c r="G2" s="2"/>
      <c r="H2" s="1" t="s">
        <v>7</v>
      </c>
    </row>
    <row r="3">
      <c r="A3" t="s">
        <v>8</v>
      </c>
      <c r="B3" s="1">
        <f>D3-C3</f>
        <v>26.7745</v>
      </c>
      <c r="C3" s="1">
        <v>1.1899999999999999</v>
      </c>
      <c r="D3" s="1">
        <v>27.964500000000001</v>
      </c>
      <c r="E3" s="1"/>
      <c r="F3" s="1"/>
      <c r="G3" s="3"/>
      <c r="H3" s="1" t="s">
        <v>9</v>
      </c>
    </row>
    <row r="4">
      <c r="A4" t="s">
        <v>10</v>
      </c>
      <c r="B4" s="1">
        <f>D4-C4</f>
        <v>26.7745</v>
      </c>
      <c r="C4" s="1">
        <v>1.1899999999999999</v>
      </c>
      <c r="D4" s="1">
        <v>27.964500000000001</v>
      </c>
      <c r="E4" s="1"/>
      <c r="F4" s="1"/>
      <c r="G4" s="4"/>
      <c r="H4" s="1" t="s">
        <v>11</v>
      </c>
    </row>
    <row r="5">
      <c r="A5" t="s">
        <v>12</v>
      </c>
      <c r="B5" s="1">
        <f>D5-C5</f>
        <v>26.674500000000002</v>
      </c>
      <c r="C5" s="1">
        <v>1.29</v>
      </c>
      <c r="D5" s="1">
        <v>27.964500000000001</v>
      </c>
      <c r="E5" s="1"/>
      <c r="F5" s="1"/>
      <c r="G5" s="1"/>
      <c r="H5" s="1"/>
    </row>
    <row r="6">
      <c r="A6" t="s">
        <v>13</v>
      </c>
      <c r="B6" s="1">
        <f>D6-C6</f>
        <v>26.674500000000002</v>
      </c>
      <c r="C6" s="1">
        <v>1.29</v>
      </c>
      <c r="D6" s="1">
        <v>27.964500000000001</v>
      </c>
      <c r="E6" s="1"/>
      <c r="F6" s="1"/>
      <c r="G6" s="1"/>
      <c r="H6" s="1"/>
    </row>
    <row r="7">
      <c r="A7" t="s">
        <v>21</v>
      </c>
      <c r="B7" s="1">
        <v>26.674499999999998</v>
      </c>
      <c r="C7" s="1">
        <v>1.29</v>
      </c>
      <c r="D7" s="8">
        <f>B7+C7</f>
        <v>27.964499999999997</v>
      </c>
      <c r="E7" s="1"/>
      <c r="F7" s="1"/>
      <c r="G7" s="1"/>
      <c r="H7" s="1"/>
    </row>
    <row r="8">
      <c r="A8" s="1"/>
      <c r="B8" s="1"/>
      <c r="C8" s="1"/>
      <c r="D8" s="1"/>
      <c r="E8" s="1"/>
      <c r="F8" s="1"/>
      <c r="G8" s="1"/>
      <c r="H8" s="1" t="s">
        <v>17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16.57421875"/>
    <col customWidth="1" min="2" max="2" width="19.8515625"/>
    <col customWidth="1" min="3" max="3" width="19.28125"/>
    <col customWidth="1" min="4" max="4" width="20.8515625"/>
    <col customWidth="1" min="5" max="5" width="30.57421875"/>
    <col customWidth="1" min="6" max="6" width="9.140625"/>
    <col customWidth="1" min="7" max="7" width="9.140625"/>
    <col customWidth="1" min="8" max="8" width="18.421875"/>
  </cols>
  <sheetData>
    <row r="1">
      <c r="A1" s="1" t="s">
        <v>0</v>
      </c>
      <c r="B1" s="1" t="s">
        <v>18</v>
      </c>
      <c r="C1" s="1" t="s">
        <v>19</v>
      </c>
      <c r="D1" s="1" t="s">
        <v>3</v>
      </c>
      <c r="E1" s="1" t="s">
        <v>4</v>
      </c>
      <c r="F1" s="1"/>
      <c r="G1" s="1" t="s">
        <v>5</v>
      </c>
      <c r="H1" s="1"/>
    </row>
    <row r="2">
      <c r="A2" t="s">
        <v>20</v>
      </c>
      <c r="B2" s="1">
        <f>D2-C2</f>
        <v>37.788600000000002</v>
      </c>
      <c r="C2" s="1">
        <v>1.1899999999999999</v>
      </c>
      <c r="D2" s="1">
        <v>38.9786</v>
      </c>
      <c r="E2" s="1"/>
      <c r="F2" s="1"/>
      <c r="G2" s="2"/>
      <c r="H2" s="1" t="s">
        <v>7</v>
      </c>
    </row>
    <row r="3">
      <c r="A3" t="s">
        <v>8</v>
      </c>
      <c r="B3" s="1">
        <f>D3-C3</f>
        <v>37.788600000000002</v>
      </c>
      <c r="C3" s="1">
        <v>1.1899999999999999</v>
      </c>
      <c r="D3" s="1">
        <v>38.9786</v>
      </c>
      <c r="E3" s="1"/>
      <c r="F3" s="1"/>
      <c r="G3" s="3"/>
      <c r="H3" s="1" t="s">
        <v>9</v>
      </c>
    </row>
    <row r="4">
      <c r="A4" t="s">
        <v>10</v>
      </c>
      <c r="B4" s="1">
        <f>D4-C4</f>
        <v>37.788600000000002</v>
      </c>
      <c r="C4" s="1">
        <v>1.1899999999999999</v>
      </c>
      <c r="D4" s="1">
        <v>38.9786</v>
      </c>
      <c r="E4" s="1"/>
      <c r="F4" s="1"/>
      <c r="G4" s="4"/>
      <c r="H4" s="1" t="s">
        <v>11</v>
      </c>
    </row>
    <row r="5">
      <c r="A5" t="s">
        <v>12</v>
      </c>
      <c r="B5" s="1">
        <f>D5-C5</f>
        <v>36.898600000000002</v>
      </c>
      <c r="C5" s="1">
        <v>2.0800000000000001</v>
      </c>
      <c r="D5" s="1">
        <v>38.9786</v>
      </c>
      <c r="E5" s="1"/>
      <c r="F5" s="1"/>
      <c r="G5" s="1"/>
      <c r="H5" s="1"/>
    </row>
    <row r="6">
      <c r="A6" t="s">
        <v>13</v>
      </c>
      <c r="B6" s="1">
        <f>D6-C6</f>
        <v>36.898600000000002</v>
      </c>
      <c r="C6" s="1">
        <v>2.0800000000000001</v>
      </c>
      <c r="D6" s="1">
        <v>38.9786</v>
      </c>
      <c r="E6" s="1"/>
      <c r="F6" s="1"/>
      <c r="G6" s="1"/>
      <c r="H6" s="1"/>
    </row>
    <row r="7">
      <c r="A7" t="s">
        <v>21</v>
      </c>
      <c r="B7" s="1">
        <v>36.898600000000002</v>
      </c>
      <c r="C7" s="1">
        <v>2.0800000000000001</v>
      </c>
      <c r="D7" s="8">
        <f>B7+C7</f>
        <v>38.9786</v>
      </c>
      <c r="E7" s="1"/>
      <c r="F7" s="1"/>
      <c r="G7" s="1"/>
      <c r="H7" s="1"/>
    </row>
    <row r="8">
      <c r="A8" s="1"/>
      <c r="B8" s="1"/>
      <c r="C8" s="1"/>
      <c r="D8" s="1"/>
      <c r="E8" s="1"/>
      <c r="F8" s="1"/>
      <c r="G8" s="1"/>
      <c r="H8" s="1" t="s">
        <v>17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6.57421875"/>
    <col customWidth="1" min="2" max="2" width="19.8515625"/>
    <col customWidth="1" min="3" max="3" width="19.28125"/>
    <col customWidth="1" min="4" max="4" width="20.8515625"/>
    <col customWidth="1" min="5" max="5" width="30.57421875"/>
    <col customWidth="1" min="6" max="6" width="9.140625"/>
    <col customWidth="1" min="7" max="7" width="9.140625"/>
    <col customWidth="1" min="8" max="8" width="18.421875"/>
  </cols>
  <sheetData>
    <row r="1" ht="14.25">
      <c r="A1" s="1" t="s">
        <v>0</v>
      </c>
      <c r="B1" s="9" t="s">
        <v>18</v>
      </c>
      <c r="C1" s="9" t="s">
        <v>19</v>
      </c>
      <c r="D1" s="1" t="s">
        <v>3</v>
      </c>
      <c r="E1" s="1" t="s">
        <v>4</v>
      </c>
      <c r="F1" s="1"/>
      <c r="G1" s="1" t="s">
        <v>5</v>
      </c>
      <c r="H1" s="1"/>
    </row>
    <row r="2" ht="14.25">
      <c r="A2" t="s">
        <v>20</v>
      </c>
      <c r="B2" s="1">
        <f>D2-C2</f>
        <v>24.784299999999998</v>
      </c>
      <c r="C2" s="1">
        <v>1.1899999999999999</v>
      </c>
      <c r="D2" s="1">
        <v>25.974299999999999</v>
      </c>
      <c r="E2" s="1"/>
      <c r="F2" s="1"/>
      <c r="G2" s="2"/>
      <c r="H2" s="1" t="s">
        <v>7</v>
      </c>
    </row>
    <row r="3" ht="14.25">
      <c r="A3" t="s">
        <v>8</v>
      </c>
      <c r="B3" s="1">
        <f>D3-C3</f>
        <v>24.784299999999998</v>
      </c>
      <c r="C3" s="1">
        <v>1.1899999999999999</v>
      </c>
      <c r="D3" s="1">
        <v>25.974299999999999</v>
      </c>
      <c r="E3" s="1"/>
      <c r="F3" s="1"/>
      <c r="G3" s="3"/>
      <c r="H3" s="1" t="s">
        <v>9</v>
      </c>
    </row>
    <row r="4" ht="14.25">
      <c r="A4" t="s">
        <v>10</v>
      </c>
      <c r="B4" s="1">
        <f>D4-C4</f>
        <v>24.784299999999998</v>
      </c>
      <c r="C4" s="1">
        <v>1.1899999999999999</v>
      </c>
      <c r="D4" s="1">
        <v>25.974299999999999</v>
      </c>
      <c r="E4" s="1"/>
      <c r="F4" s="1"/>
      <c r="G4" s="4"/>
      <c r="H4" s="1" t="s">
        <v>11</v>
      </c>
    </row>
    <row r="5" ht="14.25">
      <c r="A5" t="s">
        <v>12</v>
      </c>
      <c r="B5" s="1">
        <f>D5-C5</f>
        <v>24.674199999999999</v>
      </c>
      <c r="C5" s="1">
        <v>1.3001</v>
      </c>
      <c r="D5" s="1">
        <v>25.974299999999999</v>
      </c>
      <c r="E5" s="1"/>
      <c r="F5" s="1"/>
      <c r="G5" s="1"/>
      <c r="H5" s="1"/>
    </row>
    <row r="6" ht="14.25">
      <c r="A6" t="s">
        <v>13</v>
      </c>
      <c r="B6" s="1">
        <f>D6-C6</f>
        <v>24.9742</v>
      </c>
      <c r="C6" s="1">
        <v>1.0001</v>
      </c>
      <c r="D6" s="1">
        <v>25.974299999999999</v>
      </c>
      <c r="E6" s="1"/>
      <c r="F6" s="1"/>
      <c r="G6" s="1"/>
      <c r="H6" s="1"/>
    </row>
    <row r="7" ht="14.25">
      <c r="A7" t="s">
        <v>21</v>
      </c>
      <c r="B7" s="1">
        <v>24.704499999999999</v>
      </c>
      <c r="C7" s="1">
        <v>1.2698</v>
      </c>
      <c r="D7" s="8">
        <f>B7+C7</f>
        <v>25.974299999999999</v>
      </c>
      <c r="E7" s="1"/>
      <c r="F7" s="1"/>
      <c r="G7" s="1"/>
      <c r="H7" s="1"/>
    </row>
    <row r="8" ht="14.25">
      <c r="A8" s="1"/>
      <c r="B8" s="1"/>
      <c r="C8" s="1"/>
      <c r="D8" s="1"/>
      <c r="E8" s="1"/>
      <c r="F8" s="1"/>
      <c r="G8" s="1"/>
      <c r="H8" s="1" t="s">
        <v>17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2026-08-29T15:29:43Z</dcterms:modified>
</cp:coreProperties>
</file>